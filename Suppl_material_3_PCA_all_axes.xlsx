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74127fc23c52eae/Documentos/LUÍS/Universidade/Doutorado/Artigos/Portela et al. (2026c) - Mitracarpus elnatanii/Submission files/"/>
    </mc:Choice>
  </mc:AlternateContent>
  <xr:revisionPtr revIDLastSave="1" documentId="11_2FD27791535A826EE76A7455400EE63DBDE2205F" xr6:coauthVersionLast="47" xr6:coauthVersionMax="47" xr10:uidLastSave="{F296F650-4DF7-4F64-AC69-615A18256579}"/>
  <bookViews>
    <workbookView xWindow="-108" yWindow="-108" windowWidth="23256" windowHeight="12456" tabRatio="500" xr2:uid="{00000000-000D-0000-FFFF-FFFF00000000}"/>
  </bookViews>
  <sheets>
    <sheet name="PCA loading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L16" i="1"/>
  <c r="K16" i="1"/>
  <c r="J16" i="1"/>
  <c r="I16" i="1"/>
  <c r="H16" i="1"/>
  <c r="G16" i="1"/>
  <c r="F16" i="1"/>
  <c r="E16" i="1"/>
  <c r="D16" i="1"/>
  <c r="C16" i="1"/>
  <c r="B16" i="1"/>
  <c r="M15" i="1"/>
  <c r="L15" i="1"/>
  <c r="K15" i="1"/>
  <c r="J15" i="1"/>
  <c r="I15" i="1"/>
  <c r="H15" i="1"/>
  <c r="G15" i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<sst xmlns="http://schemas.openxmlformats.org/spreadsheetml/2006/main" count="28" uniqueCount="28">
  <si>
    <t>Variable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</si>
  <si>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</si>
  <si>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</si>
  <si>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</si>
  <si>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</si>
  <si>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</si>
  <si>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</si>
  <si>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</si>
  <si>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</si>
  <si>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</si>
  <si>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</si>
  <si>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</si>
  <si>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</si>
  <si>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bio2</t>
  </si>
  <si>
    <t>bio3</t>
  </si>
  <si>
    <t>bio4</t>
  </si>
  <si>
    <t>bio8</t>
  </si>
  <si>
    <t>bio9</t>
  </si>
  <si>
    <t>bio12</t>
  </si>
  <si>
    <t>bio13</t>
  </si>
  <si>
    <t>bio14</t>
  </si>
  <si>
    <t>bio15</t>
  </si>
  <si>
    <t>bio18</t>
  </si>
  <si>
    <t>bio19</t>
  </si>
  <si>
    <t>Elevation</t>
  </si>
  <si>
    <t>Variance explained (%)</t>
  </si>
  <si>
    <t>Cumulative variance (%)</t>
  </si>
  <si>
    <t>Eigenvalue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</si>
</sst>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A3" sqref="A1:XFD3"/>
    </sheetView>
  </sheetViews>
  <sheetFormatPr defaultColWidth="8.6640625" defaultRowHeight="14.4" x14ac:dyDescent="0.3"/>
  <cols>
    <col min="1" max="1" width="24" customWidth="1"/>
    <col min="2" max="13" width="9" customWidth="1"/>
  </cols>
  <sheetData>
    <row r="1" spans="1:13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7" t="s">
        <v>13</v>
      </c>
      <c r="B2" s="2">
        <v>-0.34367814049126699</v>
      </c>
      <c r="C2" s="2">
        <v>9.8991201579641294E-2</v>
      </c>
      <c r="D2" s="2">
        <v>9.6626791287773003E-2</v>
      </c>
      <c r="E2" s="2">
        <v>-0.146150981118192</v>
      </c>
      <c r="F2" s="2">
        <v>-0.31347337106237799</v>
      </c>
      <c r="G2" s="2">
        <v>-0.69464457025843496</v>
      </c>
      <c r="H2" s="2">
        <v>-0.41159051760626503</v>
      </c>
      <c r="I2" s="2">
        <v>-0.19262001414775001</v>
      </c>
      <c r="J2" s="2">
        <v>-0.204833780664847</v>
      </c>
      <c r="K2" s="2">
        <v>8.9491359350411706E-2</v>
      </c>
      <c r="L2" s="2">
        <v>-6.3765046565237196E-2</v>
      </c>
      <c r="M2" s="2">
        <v>7.1980573897583496E-3</v>
      </c>
    </row>
    <row r="3" spans="1:13" x14ac:dyDescent="0.3">
      <c r="A3" s="7" t="s">
        <v>14</v>
      </c>
      <c r="B3" s="2">
        <v>0.244582150350873</v>
      </c>
      <c r="C3" s="2">
        <v>0.21371731441594299</v>
      </c>
      <c r="D3" s="2">
        <v>0.43323996842066298</v>
      </c>
      <c r="E3" s="2">
        <v>0.42269701032673601</v>
      </c>
      <c r="F3" s="2">
        <v>-0.130776669821842</v>
      </c>
      <c r="G3" s="2">
        <v>-0.362817914401804</v>
      </c>
      <c r="H3" s="2">
        <v>8.6913472413874898E-2</v>
      </c>
      <c r="I3" s="2">
        <v>0.474148910125615</v>
      </c>
      <c r="J3" s="2">
        <v>0.368500865550551</v>
      </c>
      <c r="K3" s="2">
        <v>-8.2683962790885801E-2</v>
      </c>
      <c r="L3" s="2">
        <v>-3.9596877387724598E-3</v>
      </c>
      <c r="M3" s="2">
        <v>-6.6174970268763095E-2</v>
      </c>
    </row>
    <row r="4" spans="1:13" x14ac:dyDescent="0.3">
      <c r="A4" s="7" t="s">
        <v>15</v>
      </c>
      <c r="B4" s="2">
        <v>-0.29781547814446202</v>
      </c>
      <c r="C4" s="2">
        <v>-3.3939849034516002E-2</v>
      </c>
      <c r="D4" s="2">
        <v>-0.446038211686625</v>
      </c>
      <c r="E4" s="2">
        <v>-0.335790661921198</v>
      </c>
      <c r="F4" s="2">
        <v>-0.429126256534968</v>
      </c>
      <c r="G4" s="2">
        <v>-5.8280867929388401E-3</v>
      </c>
      <c r="H4" s="2">
        <v>0.15917930718302201</v>
      </c>
      <c r="I4" s="2">
        <v>0.34453455602625799</v>
      </c>
      <c r="J4" s="2">
        <v>0.430643000122505</v>
      </c>
      <c r="K4" s="2">
        <v>-0.111942567207077</v>
      </c>
      <c r="L4" s="2">
        <v>0.18903065558250101</v>
      </c>
      <c r="M4" s="2">
        <v>-0.191065510427155</v>
      </c>
    </row>
    <row r="5" spans="1:13" x14ac:dyDescent="0.3">
      <c r="A5" s="7" t="s">
        <v>16</v>
      </c>
      <c r="B5" s="2">
        <v>0.17607681450005899</v>
      </c>
      <c r="C5" s="2">
        <v>-0.50422661082077702</v>
      </c>
      <c r="D5" s="2">
        <v>-0.20367187792057401</v>
      </c>
      <c r="E5" s="2">
        <v>6.2649855655717802E-3</v>
      </c>
      <c r="F5" s="2">
        <v>2.78238377601118E-2</v>
      </c>
      <c r="G5" s="2">
        <v>-0.29721857722450201</v>
      </c>
      <c r="H5" s="2">
        <v>5.0816927338305798E-2</v>
      </c>
      <c r="I5" s="2">
        <v>0.106488971536551</v>
      </c>
      <c r="J5" s="2">
        <v>6.8455599161774197E-2</v>
      </c>
      <c r="K5" s="2">
        <v>-0.174305950406519</v>
      </c>
      <c r="L5" s="2">
        <v>1.4610287931635E-2</v>
      </c>
      <c r="M5" s="2">
        <v>0.731377804394305</v>
      </c>
    </row>
    <row r="6" spans="1:13" x14ac:dyDescent="0.3">
      <c r="A6" s="7" t="s">
        <v>17</v>
      </c>
      <c r="B6" s="2">
        <v>0.25259919624736599</v>
      </c>
      <c r="C6" s="2">
        <v>-0.46389327911702899</v>
      </c>
      <c r="D6" s="2">
        <v>9.8018970450881093E-2</v>
      </c>
      <c r="E6" s="2">
        <v>2.5281529781773199E-2</v>
      </c>
      <c r="F6" s="2">
        <v>-7.9884034248138107E-3</v>
      </c>
      <c r="G6" s="2">
        <v>-0.17183821137549399</v>
      </c>
      <c r="H6" s="2">
        <v>1.8479605858085801E-3</v>
      </c>
      <c r="I6" s="2">
        <v>-9.6484845507345096E-2</v>
      </c>
      <c r="J6" s="2">
        <v>-0.136898358032946</v>
      </c>
      <c r="K6" s="2">
        <v>7.6405428748490101E-2</v>
      </c>
      <c r="L6" s="2">
        <v>0.70247398350977497</v>
      </c>
      <c r="M6" s="2">
        <v>-0.392168616793236</v>
      </c>
    </row>
    <row r="7" spans="1:13" x14ac:dyDescent="0.3">
      <c r="A7" s="7" t="s">
        <v>18</v>
      </c>
      <c r="B7" s="2">
        <v>0.38151258763539603</v>
      </c>
      <c r="C7" s="2">
        <v>0.19117560717068699</v>
      </c>
      <c r="D7" s="2">
        <v>-4.9715983865170899E-2</v>
      </c>
      <c r="E7" s="2">
        <v>-0.27148453508309101</v>
      </c>
      <c r="F7" s="2">
        <v>4.2517855453480503E-2</v>
      </c>
      <c r="G7" s="2">
        <v>-9.3475953489800104E-2</v>
      </c>
      <c r="H7" s="2">
        <v>-0.143704359867352</v>
      </c>
      <c r="I7" s="2">
        <v>-0.19775830294037999</v>
      </c>
      <c r="J7" s="2">
        <v>7.4974490126949204E-3</v>
      </c>
      <c r="K7" s="2">
        <v>-0.80163330799629096</v>
      </c>
      <c r="L7" s="2">
        <v>-4.5871524410025601E-2</v>
      </c>
      <c r="M7" s="2">
        <v>-0.163227817896615</v>
      </c>
    </row>
    <row r="8" spans="1:13" x14ac:dyDescent="0.3">
      <c r="A8" s="7" t="s">
        <v>19</v>
      </c>
      <c r="B8" s="2">
        <v>0.31997943641246401</v>
      </c>
      <c r="C8" s="2">
        <v>0.14408425581044099</v>
      </c>
      <c r="D8" s="2">
        <v>0.119772996952831</v>
      </c>
      <c r="E8" s="2">
        <v>-0.55330152987510495</v>
      </c>
      <c r="F8" s="2">
        <v>0.28808880642142698</v>
      </c>
      <c r="G8" s="2">
        <v>-8.5954347693835906E-2</v>
      </c>
      <c r="H8" s="2">
        <v>-0.19639540986137699</v>
      </c>
      <c r="I8" s="2">
        <v>-7.7488812101132204E-2</v>
      </c>
      <c r="J8" s="2">
        <v>0.47539594968038701</v>
      </c>
      <c r="K8" s="2">
        <v>0.42800971689893402</v>
      </c>
      <c r="L8" s="2">
        <v>5.5011606633235399E-2</v>
      </c>
      <c r="M8" s="2">
        <v>9.5842823698323504E-2</v>
      </c>
    </row>
    <row r="9" spans="1:13" x14ac:dyDescent="0.3">
      <c r="A9" s="7" t="s">
        <v>20</v>
      </c>
      <c r="B9" s="2">
        <v>0.32604275863840698</v>
      </c>
      <c r="C9" s="2">
        <v>0.24841354368638299</v>
      </c>
      <c r="D9" s="2">
        <v>-0.22752972195518001</v>
      </c>
      <c r="E9" s="2">
        <v>0.13244302620100801</v>
      </c>
      <c r="F9" s="2">
        <v>-0.37054936318922099</v>
      </c>
      <c r="G9" s="2">
        <v>-0.173019885790654</v>
      </c>
      <c r="H9" s="2">
        <v>0.52864607478821202</v>
      </c>
      <c r="I9" s="2">
        <v>-0.51639583708993098</v>
      </c>
      <c r="J9" s="2">
        <v>4.9302345944327301E-2</v>
      </c>
      <c r="K9" s="2">
        <v>0.207435781149614</v>
      </c>
      <c r="L9" s="2">
        <v>-2.6831732874342699E-2</v>
      </c>
      <c r="M9" s="2">
        <v>5.5871194660591497E-2</v>
      </c>
    </row>
    <row r="10" spans="1:13" x14ac:dyDescent="0.3">
      <c r="A10" s="7" t="s">
        <v>21</v>
      </c>
      <c r="B10" s="2">
        <v>-0.31480699689806901</v>
      </c>
      <c r="C10" s="2">
        <v>-9.3073621779847404E-2</v>
      </c>
      <c r="D10" s="2">
        <v>0.34145300705110998</v>
      </c>
      <c r="E10" s="2">
        <v>-0.34180714729685502</v>
      </c>
      <c r="F10" s="2">
        <v>0.32971641151455</v>
      </c>
      <c r="G10" s="2">
        <v>-0.26460787512487399</v>
      </c>
      <c r="H10" s="2">
        <v>0.66613896944502804</v>
      </c>
      <c r="I10" s="2">
        <v>-9.2757847876994703E-3</v>
      </c>
      <c r="J10" s="2">
        <v>-7.8128541175602001E-2</v>
      </c>
      <c r="K10" s="2">
        <v>-0.12616891885987599</v>
      </c>
      <c r="L10" s="2">
        <v>-9.1707799530590495E-2</v>
      </c>
      <c r="M10" s="2">
        <v>-7.6296669267120101E-2</v>
      </c>
    </row>
    <row r="11" spans="1:13" x14ac:dyDescent="0.3">
      <c r="A11" s="7" t="s">
        <v>22</v>
      </c>
      <c r="B11" s="2">
        <v>0.17797624690655001</v>
      </c>
      <c r="C11" s="2">
        <v>0.34659221802689</v>
      </c>
      <c r="D11" s="2">
        <v>-0.49657762010566098</v>
      </c>
      <c r="E11" s="2">
        <v>-1.4319639525521699E-2</v>
      </c>
      <c r="F11" s="2">
        <v>0.35877145577126102</v>
      </c>
      <c r="G11" s="2">
        <v>-0.29412666452528702</v>
      </c>
      <c r="H11" s="2">
        <v>7.4149706319864297E-2</v>
      </c>
      <c r="I11" s="2">
        <v>0.41779755444708</v>
      </c>
      <c r="J11" s="2">
        <v>-0.41518845821225903</v>
      </c>
      <c r="K11" s="2">
        <v>0.145181123270685</v>
      </c>
      <c r="L11" s="2">
        <v>8.8488502274950406E-2</v>
      </c>
      <c r="M11" s="2">
        <v>-6.9528756226174201E-2</v>
      </c>
    </row>
    <row r="12" spans="1:13" x14ac:dyDescent="0.3">
      <c r="A12" s="7" t="s">
        <v>23</v>
      </c>
      <c r="B12" s="2">
        <v>0.31527998148554698</v>
      </c>
      <c r="C12" s="2">
        <v>-8.8505031957498495E-3</v>
      </c>
      <c r="D12" s="2">
        <v>0.30374249006514698</v>
      </c>
      <c r="E12" s="2">
        <v>-0.41476662766872402</v>
      </c>
      <c r="F12" s="2">
        <v>-0.490001836191087</v>
      </c>
      <c r="G12" s="2">
        <v>0.21051505616191299</v>
      </c>
      <c r="H12" s="2">
        <v>7.8266296176292896E-2</v>
      </c>
      <c r="I12" s="2">
        <v>0.33023051677614101</v>
      </c>
      <c r="J12" s="2">
        <v>-0.4518586467513</v>
      </c>
      <c r="K12" s="2">
        <v>9.8849025436289803E-2</v>
      </c>
      <c r="L12" s="2">
        <v>-8.4981975254472306E-2</v>
      </c>
      <c r="M12" s="2">
        <v>0.124353720926795</v>
      </c>
    </row>
    <row r="13" spans="1:13" x14ac:dyDescent="0.3">
      <c r="A13" s="7" t="s">
        <v>24</v>
      </c>
      <c r="B13" s="2">
        <v>-0.23267663980383599</v>
      </c>
      <c r="C13" s="2">
        <v>0.47544444301645</v>
      </c>
      <c r="D13" s="2">
        <v>0.17000100279403199</v>
      </c>
      <c r="E13" s="2">
        <v>-8.7880239857044094E-3</v>
      </c>
      <c r="F13" s="2">
        <v>-1.7764385389953099E-3</v>
      </c>
      <c r="G13" s="2">
        <v>0.144998848225809</v>
      </c>
      <c r="H13" s="2">
        <v>3.2584906101146997E-2</v>
      </c>
      <c r="I13" s="2">
        <v>-5.7065756514505697E-2</v>
      </c>
      <c r="J13" s="2">
        <v>-4.7111653453985103E-2</v>
      </c>
      <c r="K13" s="2">
        <v>-0.144215119305481</v>
      </c>
      <c r="L13" s="2">
        <v>0.66120322578250501</v>
      </c>
      <c r="M13" s="2">
        <v>0.45308197919613202</v>
      </c>
    </row>
    <row r="14" spans="1:13" x14ac:dyDescent="0.3">
      <c r="A14" s="8" t="s">
        <v>25</v>
      </c>
      <c r="B14" s="3">
        <v>45.504200450984399</v>
      </c>
      <c r="C14" s="3">
        <v>23.599161314945</v>
      </c>
      <c r="D14" s="3">
        <v>12.0397598390203</v>
      </c>
      <c r="E14" s="3">
        <v>8.0009841613190797</v>
      </c>
      <c r="F14" s="3">
        <v>3.89893308301742</v>
      </c>
      <c r="G14" s="3">
        <v>3.6820177796970301</v>
      </c>
      <c r="H14" s="3">
        <v>1.33112655538108</v>
      </c>
      <c r="I14" s="3">
        <v>0.93239323651971995</v>
      </c>
      <c r="J14" s="3">
        <v>0.52321815426986595</v>
      </c>
      <c r="K14" s="3">
        <v>0.188280145121063</v>
      </c>
      <c r="L14" s="3">
        <v>0.16465835873527199</v>
      </c>
      <c r="M14" s="3">
        <v>0.13526692098985099</v>
      </c>
    </row>
    <row r="15" spans="1:13" x14ac:dyDescent="0.3">
      <c r="A15" s="9" t="s">
        <v>26</v>
      </c>
      <c r="B15" s="4">
        <f>SUM($B$14:B14)</f>
        <v>45.504200450984399</v>
      </c>
      <c r="C15" s="4">
        <f>SUM($B$14:C14)</f>
        <v>69.103361765929407</v>
      </c>
      <c r="D15" s="4">
        <f>SUM($B$14:D14)</f>
        <v>81.143121604949712</v>
      </c>
      <c r="E15" s="4">
        <f>SUM($B$14:E14)</f>
        <v>89.144105766268794</v>
      </c>
      <c r="F15" s="4">
        <f>SUM($B$14:F14)</f>
        <v>93.043038849286219</v>
      </c>
      <c r="G15" s="4">
        <f>SUM($B$14:G14)</f>
        <v>96.725056628983253</v>
      </c>
      <c r="H15" s="4">
        <f>SUM($B$14:H14)</f>
        <v>98.056183184364329</v>
      </c>
      <c r="I15" s="4">
        <f>SUM($B$14:I14)</f>
        <v>98.988576420884044</v>
      </c>
      <c r="J15" s="4">
        <f>SUM($B$14:J14)</f>
        <v>99.511794575153914</v>
      </c>
      <c r="K15" s="4">
        <f>SUM($B$14:K14)</f>
        <v>99.700074720274984</v>
      </c>
      <c r="L15" s="4">
        <f>SUM($B$14:L14)</f>
        <v>99.86473307901025</v>
      </c>
      <c r="M15" s="4">
        <f>SUM($B$14:M14)</f>
        <v>100.0000000000001</v>
      </c>
    </row>
    <row r="16" spans="1:13" x14ac:dyDescent="0.3">
      <c r="A16" s="10" t="s">
        <v>27</v>
      </c>
      <c r="B16" s="5">
        <f t="shared" ref="B16:M16" si="0">B14/100*12</f>
        <v>5.460504054118128</v>
      </c>
      <c r="C16" s="5">
        <f t="shared" si="0"/>
        <v>2.8318993577934002</v>
      </c>
      <c r="D16" s="5">
        <f t="shared" si="0"/>
        <v>1.4447711806824359</v>
      </c>
      <c r="E16" s="5">
        <f t="shared" si="0"/>
        <v>0.96011809935828962</v>
      </c>
      <c r="F16" s="5">
        <f t="shared" si="0"/>
        <v>0.46787196996209046</v>
      </c>
      <c r="G16" s="5">
        <f t="shared" si="0"/>
        <v>0.44184213356364366</v>
      </c>
      <c r="H16" s="5">
        <f t="shared" si="0"/>
        <v>0.15973518664572961</v>
      </c>
      <c r="I16" s="5">
        <f t="shared" si="0"/>
        <v>0.11188718838236639</v>
      </c>
      <c r="J16" s="5">
        <f t="shared" si="0"/>
        <v>6.2786178512383911E-2</v>
      </c>
      <c r="K16" s="5">
        <f t="shared" si="0"/>
        <v>2.2593617414527561E-2</v>
      </c>
      <c r="L16" s="5">
        <f t="shared" si="0"/>
        <v>1.9759003048232637E-2</v>
      </c>
      <c r="M16" s="5">
        <f t="shared" si="0"/>
        <v>1.6232030518782119E-2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PCA loadings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Luís Henrique Ximenes</cp:lastModifiedBy>
  <cp:revision>0</cp:revision>
  <dcterms:created xsi:type="dcterms:W3CDTF">2026-09-24T18:02:58Z</dcterms:created>
  <dcterms:modified xsi:type="dcterms:W3CDTF">2026-10-02T13:50:19Z</dcterms:modified>
  <dc:language>en-US</dc:language>
</cp:coreProperties>
</file>