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74127fc23c52eae/Documentos/LUÍS/Universidade/Doutorado/Artigos/Portela et al. (2026c) - Mitracarpus elnatanii/Submission files/"/>
    </mc:Choice>
  </mc:AlternateContent>
  <xr:revisionPtr revIDLastSave="1" documentId="11_6CFD397E1078AABEEF1268D45188A63A6E22E11B" xr6:coauthVersionLast="47" xr6:coauthVersionMax="47" xr10:uidLastSave="{E1D2F408-1406-4D54-AFF6-A2B6982645BC}"/>
  <bookViews>
    <workbookView xWindow="-108" yWindow="-108" windowWidth="23256" windowHeight="12456" tabRatio="500" xr2:uid="{00000000-000D-0000-FFFF-FFFF00000000}"/>
  </bookViews>
  <sheets>
    <sheet name="Confusion matrix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F5" i="1"/>
  <c r="F4" i="1"/>
  <c r="G4" i="1" s="1"/>
  <c r="F3" i="1"/>
  <c r="G3" i="1" s="1"/>
  <c r="F2" i="1"/>
  <c r="G2" i="1" s="1"/>
  <c r="F6" i="1" l="1"/>
  <c r="G6" i="1" s="1"/>
  <c r="G5" i="1"/>
</calcChain>
</file>

<file path=xl/sharedStrings.xml><?xml version="1.0" encoding="utf-8"?>
<sst xmlns="http://schemas.openxmlformats.org/spreadsheetml/2006/main" count="12" uniqueCount="7">
  <si>
    <t>Observed \ Predicted</t>
  </si>
  <si>
    <t>M. eichleri</t>
  </si>
  <si>
    <t>M. frigidus</t>
  </si>
  <si>
    <t>M. lhotzkyanus</t>
  </si>
  <si>
    <t>M. salzmannianus</t>
  </si>
  <si>
    <t>Total</t>
  </si>
  <si>
    <t>Correctly classified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</si>
</sst>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b/>
      <i/>
      <sz val="10"/>
      <name val="Arial"/>
      <charset val="1"/>
    </font>
    <font>
      <i/>
      <sz val="10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selection sqref="A1:XFD3"/>
    </sheetView>
  </sheetViews>
  <sheetFormatPr defaultColWidth="8.6640625" defaultRowHeight="14.4" x14ac:dyDescent="0.3"/>
  <cols>
    <col min="1" max="1" width="22" customWidth="1"/>
    <col min="2" max="7" width="15" customWidth="1"/>
  </cols>
  <sheetData>
    <row r="1" spans="1:7" ht="30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5" customHeight="1" x14ac:dyDescent="0.3">
      <c r="A2" s="4" t="s">
        <v>1</v>
      </c>
      <c r="B2" s="5">
        <v>47</v>
      </c>
      <c r="C2" s="5">
        <v>0</v>
      </c>
      <c r="D2" s="5">
        <v>0</v>
      </c>
      <c r="E2" s="5">
        <v>33</v>
      </c>
      <c r="F2" s="5">
        <f>SUM(B2:E2)</f>
        <v>80</v>
      </c>
      <c r="G2" s="6">
        <f>B2/F2</f>
        <v>0.58750000000000002</v>
      </c>
    </row>
    <row r="3" spans="1:7" ht="15" customHeight="1" x14ac:dyDescent="0.3">
      <c r="A3" s="4" t="s">
        <v>2</v>
      </c>
      <c r="B3" s="5">
        <v>0</v>
      </c>
      <c r="C3" s="5">
        <v>8</v>
      </c>
      <c r="D3" s="5">
        <v>0</v>
      </c>
      <c r="E3" s="5">
        <v>20</v>
      </c>
      <c r="F3" s="5">
        <f>SUM(B3:E3)</f>
        <v>28</v>
      </c>
      <c r="G3" s="6">
        <f>C3/F3</f>
        <v>0.2857142857142857</v>
      </c>
    </row>
    <row r="4" spans="1:7" ht="15" customHeight="1" x14ac:dyDescent="0.3">
      <c r="A4" s="4" t="s">
        <v>3</v>
      </c>
      <c r="B4" s="5">
        <v>3</v>
      </c>
      <c r="C4" s="5">
        <v>0</v>
      </c>
      <c r="D4" s="5">
        <v>3</v>
      </c>
      <c r="E4" s="5">
        <v>2</v>
      </c>
      <c r="F4" s="5">
        <f>SUM(B4:E4)</f>
        <v>8</v>
      </c>
      <c r="G4" s="6">
        <f>D4/F4</f>
        <v>0.375</v>
      </c>
    </row>
    <row r="5" spans="1:7" ht="15" customHeight="1" x14ac:dyDescent="0.3">
      <c r="A5" s="4" t="s">
        <v>4</v>
      </c>
      <c r="B5" s="5">
        <v>29</v>
      </c>
      <c r="C5" s="5">
        <v>18</v>
      </c>
      <c r="D5" s="5">
        <v>5</v>
      </c>
      <c r="E5" s="5">
        <v>149</v>
      </c>
      <c r="F5" s="5">
        <f>SUM(B5:E5)</f>
        <v>201</v>
      </c>
      <c r="G5" s="6">
        <f>E5/F5</f>
        <v>0.74129353233830841</v>
      </c>
    </row>
    <row r="6" spans="1:7" ht="15" customHeight="1" x14ac:dyDescent="0.3">
      <c r="A6" s="7" t="s">
        <v>5</v>
      </c>
      <c r="B6" s="8">
        <f>SUM(B2:B5)</f>
        <v>79</v>
      </c>
      <c r="C6" s="8">
        <f>SUM(C2:C5)</f>
        <v>26</v>
      </c>
      <c r="D6" s="8">
        <f>SUM(D2:D5)</f>
        <v>8</v>
      </c>
      <c r="E6" s="8">
        <f>SUM(E2:E5)</f>
        <v>204</v>
      </c>
      <c r="F6" s="8">
        <f>SUM(F2:F5)</f>
        <v>317</v>
      </c>
      <c r="G6" s="9">
        <f>(B2+C3+D4+E5)/F6</f>
        <v>0.65299684542586756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Luís Henrique Ximenes</cp:lastModifiedBy>
  <cp:revision>0</cp:revision>
  <dcterms:created xsi:type="dcterms:W3CDTF">2026-09-24T18:02:59Z</dcterms:created>
  <dcterms:modified xsi:type="dcterms:W3CDTF">2026-10-02T13:50:30Z</dcterms:modified>
  <dc:language>en-US</dc:language>
</cp:coreProperties>
</file>